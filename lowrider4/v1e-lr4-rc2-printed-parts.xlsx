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v1e-vnext\lowrider4\"/>
    </mc:Choice>
  </mc:AlternateContent>
  <xr:revisionPtr revIDLastSave="0" documentId="13_ncr:1_{34D9699B-85BA-42F4-B902-ACD29CA15187}" xr6:coauthVersionLast="47" xr6:coauthVersionMax="47" xr10:uidLastSave="{00000000-0000-0000-0000-000000000000}"/>
  <bookViews>
    <workbookView xWindow="-120" yWindow="-120" windowWidth="29040" windowHeight="17640" activeTab="1" xr2:uid="{81113714-7E68-470E-A112-6E6F3F5BF5AF}"/>
  </bookViews>
  <sheets>
    <sheet name="Printed Parts" sheetId="1" r:id="rId1"/>
    <sheet name="Dimensions" sheetId="3" r:id="rId2"/>
    <sheet name="Printer Calibration" sheetId="4" r:id="rId3"/>
  </sheets>
  <definedNames>
    <definedName name="_xlnm._FilterDatabase" localSheetId="0" hidden="1">'Printed Parts'!$A$1:$V$27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" l="1"/>
  <c r="M30" i="1"/>
  <c r="M29" i="1"/>
  <c r="M28" i="1"/>
  <c r="L31" i="1"/>
  <c r="L30" i="1"/>
  <c r="L29" i="1"/>
  <c r="L28" i="1"/>
  <c r="J31" i="1"/>
  <c r="J30" i="1"/>
  <c r="J29" i="1"/>
  <c r="J28" i="1"/>
  <c r="L11" i="1"/>
  <c r="L10" i="1"/>
  <c r="L9" i="1"/>
  <c r="L6" i="1"/>
  <c r="L12" i="3"/>
  <c r="K14" i="3"/>
  <c r="J14" i="3"/>
  <c r="J13" i="3"/>
  <c r="K13" i="3" s="1"/>
  <c r="K12" i="3"/>
  <c r="M12" i="3" s="1"/>
  <c r="J12" i="3"/>
  <c r="D7" i="4"/>
  <c r="D6" i="4"/>
  <c r="D5" i="4"/>
  <c r="D4" i="4"/>
  <c r="E7" i="4"/>
  <c r="E6" i="4"/>
  <c r="E5" i="4"/>
  <c r="E4" i="4"/>
  <c r="G21" i="3"/>
  <c r="G20" i="3"/>
  <c r="E3" i="3"/>
  <c r="E4" i="3"/>
  <c r="E10" i="3" s="1"/>
  <c r="D10" i="3" s="1"/>
  <c r="E6" i="3"/>
  <c r="C36" i="1"/>
  <c r="M9" i="1"/>
  <c r="M26" i="1"/>
  <c r="L26" i="1" s="1"/>
  <c r="M25" i="1"/>
  <c r="L25" i="1" s="1"/>
  <c r="M24" i="1"/>
  <c r="L24" i="1" s="1"/>
  <c r="M23" i="1"/>
  <c r="L23" i="1" s="1"/>
  <c r="M22" i="1"/>
  <c r="L22" i="1" s="1"/>
  <c r="M21" i="1"/>
  <c r="L21" i="1" s="1"/>
  <c r="M20" i="1"/>
  <c r="L20" i="1" s="1"/>
  <c r="M19" i="1"/>
  <c r="L19" i="1" s="1"/>
  <c r="M18" i="1"/>
  <c r="L18" i="1" s="1"/>
  <c r="M17" i="1"/>
  <c r="L17" i="1" s="1"/>
  <c r="M16" i="1"/>
  <c r="L16" i="1" s="1"/>
  <c r="M15" i="1"/>
  <c r="L15" i="1" s="1"/>
  <c r="M14" i="1"/>
  <c r="L14" i="1" s="1"/>
  <c r="M13" i="1"/>
  <c r="L13" i="1" s="1"/>
  <c r="M12" i="1"/>
  <c r="L12" i="1" s="1"/>
  <c r="M11" i="1"/>
  <c r="M10" i="1"/>
  <c r="M8" i="1"/>
  <c r="L8" i="1" s="1"/>
  <c r="M7" i="1"/>
  <c r="L7" i="1" s="1"/>
  <c r="M6" i="1"/>
  <c r="M5" i="1"/>
  <c r="L5" i="1" s="1"/>
  <c r="M4" i="1"/>
  <c r="L4" i="1" s="1"/>
  <c r="M3" i="1"/>
  <c r="L3" i="1" s="1"/>
  <c r="M2" i="1"/>
  <c r="L2" i="1" s="1"/>
  <c r="K27" i="1"/>
  <c r="M27" i="1" s="1"/>
  <c r="L27" i="1" s="1"/>
  <c r="J27" i="1"/>
  <c r="J26" i="1"/>
  <c r="J25" i="1"/>
  <c r="J24" i="1"/>
  <c r="J23" i="1"/>
  <c r="J21" i="1"/>
  <c r="J22" i="1"/>
  <c r="J20" i="1"/>
  <c r="J19" i="1"/>
  <c r="J18" i="1"/>
  <c r="J17" i="1"/>
  <c r="J16" i="1"/>
  <c r="J15" i="1"/>
  <c r="J14" i="1"/>
  <c r="J13" i="1"/>
  <c r="J12" i="1"/>
  <c r="J11" i="1"/>
  <c r="J10" i="1"/>
  <c r="J9" i="1"/>
  <c r="D36" i="1" s="1"/>
  <c r="J8" i="1"/>
  <c r="J7" i="1"/>
  <c r="J6" i="1"/>
  <c r="J5" i="1"/>
  <c r="J4" i="1"/>
  <c r="J3" i="1"/>
  <c r="J2" i="1"/>
  <c r="C37" i="1" l="1"/>
  <c r="C35" i="1"/>
  <c r="D37" i="1"/>
  <c r="C34" i="1"/>
  <c r="E37" i="1"/>
  <c r="E34" i="1"/>
  <c r="E35" i="1"/>
  <c r="E36" i="1"/>
  <c r="E9" i="3"/>
  <c r="D9" i="3" s="1"/>
  <c r="E22" i="3"/>
  <c r="G22" i="3" s="1"/>
  <c r="E23" i="3"/>
  <c r="G23" i="3" s="1"/>
  <c r="E11" i="3"/>
  <c r="E19" i="3" s="1"/>
  <c r="G19" i="3" s="1"/>
  <c r="E12" i="3"/>
  <c r="M33" i="1"/>
  <c r="L33" i="1" s="1"/>
  <c r="J33" i="1"/>
  <c r="D34" i="1"/>
  <c r="D35" i="1"/>
  <c r="C38" i="1" l="1"/>
  <c r="E38" i="1"/>
  <c r="D38" i="1"/>
  <c r="D12" i="3"/>
  <c r="B14" i="3"/>
  <c r="D15" i="3"/>
  <c r="C15" i="3" s="1"/>
  <c r="D11" i="3"/>
  <c r="D13" i="3" s="1"/>
  <c r="E13" i="3"/>
</calcChain>
</file>

<file path=xl/sharedStrings.xml><?xml version="1.0" encoding="utf-8"?>
<sst xmlns="http://schemas.openxmlformats.org/spreadsheetml/2006/main" count="270" uniqueCount="123">
  <si>
    <t>Qty</t>
  </si>
  <si>
    <t>Total Weight</t>
  </si>
  <si>
    <t>Color</t>
  </si>
  <si>
    <t>Part</t>
  </si>
  <si>
    <t>B</t>
  </si>
  <si>
    <t>BackWheel_Max.stl</t>
  </si>
  <si>
    <t>BackWheel_Min.stl</t>
  </si>
  <si>
    <t>Brace_29p5.stl</t>
  </si>
  <si>
    <t>Brace_Max_29p5.stl</t>
  </si>
  <si>
    <t>Core.stl</t>
  </si>
  <si>
    <t>FrontWheel_Max.stl</t>
  </si>
  <si>
    <t>FrontWheel_Min.stl</t>
  </si>
  <si>
    <t>Hose_Hook_M.stl</t>
  </si>
  <si>
    <t>MakitaBottomRC.stl</t>
  </si>
  <si>
    <t>X_Belt.stl</t>
  </si>
  <si>
    <t>Y_Belt_Max_Lock.stl</t>
  </si>
  <si>
    <t>Y_Belt_Max_Tension.stl</t>
  </si>
  <si>
    <t>Y_Belt_MaxB.stl</t>
  </si>
  <si>
    <t>Y_Belt_MaxF.stl</t>
  </si>
  <si>
    <t>Y_Belt_Min_Lock.stl</t>
  </si>
  <si>
    <t>Y_Belt_Min_Tension.stl</t>
  </si>
  <si>
    <t>Y_Belt_MinB.stl</t>
  </si>
  <si>
    <t>Y_Belt_MinF.stl</t>
  </si>
  <si>
    <t>Y_Clip_29p5.stl</t>
  </si>
  <si>
    <t>YZ_Plate_Max.stl</t>
  </si>
  <si>
    <t>Z_Stub_Min.stl</t>
  </si>
  <si>
    <t>Print Group</t>
  </si>
  <si>
    <t>File name</t>
  </si>
  <si>
    <t>V250_Front-Back-Min-Max-Wheels.gcode</t>
  </si>
  <si>
    <t>V250_Y_Clip_29p5_x6.gcode</t>
  </si>
  <si>
    <t>Y</t>
  </si>
  <si>
    <t>A</t>
  </si>
  <si>
    <t>Done</t>
  </si>
  <si>
    <t>YZ_Plate_Min.stl</t>
  </si>
  <si>
    <t>Infill %</t>
  </si>
  <si>
    <t>Z_Nut.stl</t>
  </si>
  <si>
    <t>Z_Stub_Max.stl</t>
  </si>
  <si>
    <t>Z_Switch_Max.stl</t>
  </si>
  <si>
    <t>Z_Switch_Min.stl</t>
  </si>
  <si>
    <t>Aza Color</t>
  </si>
  <si>
    <t>C</t>
  </si>
  <si>
    <t>A = PLA, Primary main</t>
  </si>
  <si>
    <t>B = PLA, Secondary accent</t>
  </si>
  <si>
    <t>V1E Color</t>
  </si>
  <si>
    <t>Notes</t>
  </si>
  <si>
    <t>Slowed mid-print because my overhang settings were wrong/too-fast</t>
  </si>
  <si>
    <t>V250_z_parts.gcode</t>
  </si>
  <si>
    <t>Print (hrs)</t>
  </si>
  <si>
    <t>Weight (g)</t>
  </si>
  <si>
    <t>V250_belt_parts_B</t>
  </si>
  <si>
    <t>V250_belt_parts_A</t>
  </si>
  <si>
    <t>Total Time (hrs)</t>
  </si>
  <si>
    <t>Time (hrs)</t>
  </si>
  <si>
    <t>CE3MAX_YZ_Plate_Min</t>
  </si>
  <si>
    <t>Printer</t>
  </si>
  <si>
    <t>V1E-v4</t>
  </si>
  <si>
    <t>Ender 3Max</t>
  </si>
  <si>
    <t>2.?</t>
  </si>
  <si>
    <t>V250_hose_hooks_and_mounts_C.gcode</t>
  </si>
  <si>
    <t>Note: Batching reduces total time.</t>
  </si>
  <si>
    <t>CE3MAX_YZ_Plate_Max</t>
  </si>
  <si>
    <t>CE3MAX_belt_parts_A.gcode</t>
  </si>
  <si>
    <t>2.3</t>
  </si>
  <si>
    <t>Colors</t>
  </si>
  <si>
    <t>Y Footprint</t>
  </si>
  <si>
    <t>X Footprint</t>
  </si>
  <si>
    <t>LR4 RC2 Dimension Calc based on info at https://forum.v1e.com/t/lr4-rc2/44676</t>
  </si>
  <si>
    <t>XZ thickness</t>
  </si>
  <si>
    <t>(in)</t>
  </si>
  <si>
    <t>(mm)</t>
  </si>
  <si>
    <t>Usable X</t>
  </si>
  <si>
    <t>Usable Y</t>
  </si>
  <si>
    <t>Usable Z</t>
  </si>
  <si>
    <t>Includes 2mm gap on each end of rail</t>
  </si>
  <si>
    <t>X Rail Pipe length</t>
  </si>
  <si>
    <t>Y Rail Pipe length</t>
  </si>
  <si>
    <t>Strut length</t>
  </si>
  <si>
    <t>Same as X pipe length</t>
  </si>
  <si>
    <t>Includes 2.5mm end stop tolerance</t>
  </si>
  <si>
    <t>Gantry/drag-chain</t>
  </si>
  <si>
    <t>Controller box</t>
  </si>
  <si>
    <t>X-min/touchplate</t>
  </si>
  <si>
    <t>Z1</t>
  </si>
  <si>
    <t>Y1</t>
  </si>
  <si>
    <t>Z2</t>
  </si>
  <si>
    <t>Y2</t>
  </si>
  <si>
    <t>Wire Lengths</t>
  </si>
  <si>
    <t>Total (mm)</t>
  </si>
  <si>
    <t>Total Pipe length (feet)</t>
  </si>
  <si>
    <t>(feet)</t>
  </si>
  <si>
    <t>YZ-Plate/Core routing</t>
  </si>
  <si>
    <t>Y Clips needed</t>
  </si>
  <si>
    <t>Some notes relates to printer calibration steps I tried to help correct dimension/flow for my MP3DP v4</t>
  </si>
  <si>
    <t>3 + alternate infill wall</t>
  </si>
  <si>
    <t>Walls (inc Skin)</t>
  </si>
  <si>
    <t>Expected wall thickness</t>
  </si>
  <si>
    <t>Actual wall thickness</t>
  </si>
  <si>
    <t>Error %</t>
  </si>
  <si>
    <t>Recommended flow %</t>
  </si>
  <si>
    <t>James Color</t>
  </si>
  <si>
    <t>Purple</t>
  </si>
  <si>
    <t>Gray Blue</t>
  </si>
  <si>
    <t>Green</t>
  </si>
  <si>
    <t>D</t>
  </si>
  <si>
    <t>"</t>
  </si>
  <si>
    <t>mm</t>
  </si>
  <si>
    <t>2x "</t>
  </si>
  <si>
    <t>2x mm</t>
  </si>
  <si>
    <t>Est Weight</t>
  </si>
  <si>
    <t>Actual Weight</t>
  </si>
  <si>
    <t>D = PETG, for flex and higher temp</t>
  </si>
  <si>
    <t>C = PLA, Tertiary accent</t>
  </si>
  <si>
    <t>Starlight Twilight</t>
  </si>
  <si>
    <t>Red</t>
  </si>
  <si>
    <t>Black</t>
  </si>
  <si>
    <t>Done (hrs)</t>
  </si>
  <si>
    <t>JackPot Box</t>
  </si>
  <si>
    <t>JackPot Lid</t>
  </si>
  <si>
    <t>Alu</t>
  </si>
  <si>
    <t>XZ Plate Min</t>
  </si>
  <si>
    <t>XZ Plate Max</t>
  </si>
  <si>
    <t>James' bench dimensions</t>
  </si>
  <si>
    <t>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</si>
</sst>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name val="Roboto"/>
    </font>
    <font>
      <b/>
      <sz val="11"/>
      <color theme="1"/>
      <name val="Roboto"/>
    </font>
    <font>
      <sz val="11"/>
      <color theme="1"/>
      <name val="Roboto"/>
    </font>
    <font>
      <b/>
      <sz val="11"/>
      <color rgb="FF3F3F3F"/>
      <name val="Roboto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3" borderId="2" applyNumberFormat="0" applyAlignment="0" applyProtection="0"/>
  </cellStyleXfs>
  <cellXfs count="15">
    <xf numFmtId="0" fontId="0" fillId="0" borderId="0" xfId="0"/>
    <xf numFmtId="0" fontId="2" fillId="0" borderId="0" xfId="0" applyFont="1"/>
    <xf numFmtId="0" fontId="1" fillId="2" borderId="1" xfId="1"/>
    <xf numFmtId="0" fontId="1" fillId="2" borderId="0" xfId="1" applyBorder="1"/>
    <xf numFmtId="49" fontId="0" fillId="0" borderId="0" xfId="0" applyNumberFormat="1" applyAlignment="1">
      <alignment horizontal="right"/>
    </xf>
    <xf numFmtId="0" fontId="6" fillId="0" borderId="0" xfId="0" applyFont="1"/>
    <xf numFmtId="0" fontId="5" fillId="0" borderId="0" xfId="0" applyFont="1"/>
    <xf numFmtId="0" fontId="7" fillId="2" borderId="1" xfId="1" applyFont="1"/>
    <xf numFmtId="0" fontId="4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3" fillId="3" borderId="2" xfId="2"/>
    <xf numFmtId="0" fontId="5" fillId="0" borderId="0" xfId="0" applyFont="1" applyAlignment="1">
      <alignment horizontal="right"/>
    </xf>
    <xf numFmtId="0" fontId="1" fillId="2" borderId="1" xfId="1" applyAlignment="1">
      <alignment horizontal="right"/>
    </xf>
    <xf numFmtId="164" fontId="0" fillId="0" borderId="0" xfId="0" applyNumberFormat="1"/>
    <xf numFmtId="0" fontId="5" fillId="0" borderId="0" xfId="0" applyFont="1" applyAlignment="1">
      <alignment horizontal="left"/>
    </xf>
  </cellXfs>
  <cellStyles count="3">
    <cellStyle name="Input" xfId="2" builtinId="20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154C-C6F0-467A-9591-D967B6CEDC54}">
  <dimension ref="A1:V42"/>
  <sheetViews>
    <sheetView zoomScaleNormal="100" workbookViewId="0">
      <selection activeCell="A9" sqref="A9"/>
    </sheetView>
  </sheetViews>
  <sheetFormatPr defaultRowHeight="15" x14ac:dyDescent="0.25"/>
  <cols>
    <col min="1" max="1" width="8.140625" bestFit="1" customWidth="1"/>
    <col min="2" max="2" width="30.85546875" bestFit="1" customWidth="1"/>
    <col min="3" max="3" width="12" bestFit="1" customWidth="1"/>
    <col min="4" max="4" width="15.7109375" bestFit="1" customWidth="1"/>
    <col min="5" max="5" width="14.28515625" bestFit="1" customWidth="1"/>
    <col min="6" max="6" width="11.28515625" customWidth="1"/>
    <col min="8" max="8" width="11.42578125" bestFit="1" customWidth="1"/>
    <col min="9" max="9" width="12.5703125" customWidth="1"/>
    <col min="10" max="10" width="11.85546875" bestFit="1" customWidth="1"/>
    <col min="11" max="11" width="11.85546875" customWidth="1"/>
    <col min="12" max="12" width="7.85546875" customWidth="1"/>
    <col min="13" max="13" width="15.140625" bestFit="1" customWidth="1"/>
    <col min="14" max="14" width="11.85546875" customWidth="1"/>
    <col min="15" max="15" width="14.42578125" customWidth="1"/>
    <col min="16" max="16" width="11" bestFit="1" customWidth="1"/>
    <col min="17" max="17" width="11.28515625" bestFit="1" customWidth="1"/>
    <col min="18" max="18" width="6" bestFit="1" customWidth="1"/>
    <col min="19" max="19" width="10" bestFit="1" customWidth="1"/>
    <col min="20" max="20" width="10.28515625" bestFit="1" customWidth="1"/>
    <col min="21" max="21" width="37.7109375" bestFit="1" customWidth="1"/>
  </cols>
  <sheetData>
    <row r="1" spans="1:22" x14ac:dyDescent="0.25">
      <c r="A1" s="1" t="s">
        <v>32</v>
      </c>
      <c r="B1" s="1" t="s">
        <v>3</v>
      </c>
      <c r="C1" s="1" t="s">
        <v>43</v>
      </c>
      <c r="D1" s="1" t="s">
        <v>39</v>
      </c>
      <c r="E1" s="1" t="s">
        <v>99</v>
      </c>
      <c r="F1" s="1" t="s">
        <v>34</v>
      </c>
      <c r="G1" s="1" t="s">
        <v>0</v>
      </c>
      <c r="H1" s="1" t="s">
        <v>108</v>
      </c>
      <c r="I1" s="1" t="s">
        <v>109</v>
      </c>
      <c r="J1" s="1" t="s">
        <v>1</v>
      </c>
      <c r="K1" s="1" t="s">
        <v>52</v>
      </c>
      <c r="L1" s="1" t="s">
        <v>115</v>
      </c>
      <c r="M1" s="1" t="s">
        <v>51</v>
      </c>
      <c r="N1" s="1" t="s">
        <v>26</v>
      </c>
      <c r="P1" s="1" t="s">
        <v>54</v>
      </c>
      <c r="Q1" s="1" t="s">
        <v>26</v>
      </c>
      <c r="R1" s="1" t="s">
        <v>2</v>
      </c>
      <c r="S1" s="1" t="s">
        <v>47</v>
      </c>
      <c r="T1" s="1" t="s">
        <v>48</v>
      </c>
      <c r="U1" s="1" t="s">
        <v>27</v>
      </c>
      <c r="V1" s="1" t="s">
        <v>44</v>
      </c>
    </row>
    <row r="2" spans="1:22" x14ac:dyDescent="0.25">
      <c r="A2" t="s">
        <v>30</v>
      </c>
      <c r="B2" t="s">
        <v>5</v>
      </c>
      <c r="C2" t="s">
        <v>31</v>
      </c>
      <c r="D2" t="s">
        <v>4</v>
      </c>
      <c r="E2" t="s">
        <v>31</v>
      </c>
      <c r="F2">
        <v>30</v>
      </c>
      <c r="G2">
        <v>1</v>
      </c>
      <c r="H2">
        <v>78</v>
      </c>
      <c r="I2">
        <v>68</v>
      </c>
      <c r="J2" s="2">
        <f>H2*G2</f>
        <v>78</v>
      </c>
      <c r="K2">
        <v>0.7</v>
      </c>
      <c r="L2" s="2">
        <f>SUMIFS(M2:M2, A2:A2, "Y")</f>
        <v>0.7</v>
      </c>
      <c r="M2" s="2">
        <f>K2*G2</f>
        <v>0.7</v>
      </c>
      <c r="N2">
        <v>1.2</v>
      </c>
      <c r="P2" t="s">
        <v>55</v>
      </c>
      <c r="Q2">
        <v>1.1000000000000001</v>
      </c>
      <c r="R2" t="s">
        <v>4</v>
      </c>
      <c r="S2">
        <v>2.5</v>
      </c>
      <c r="T2">
        <v>106</v>
      </c>
      <c r="U2" t="s">
        <v>29</v>
      </c>
    </row>
    <row r="3" spans="1:22" x14ac:dyDescent="0.25">
      <c r="A3" t="s">
        <v>30</v>
      </c>
      <c r="B3" t="s">
        <v>6</v>
      </c>
      <c r="C3" t="s">
        <v>31</v>
      </c>
      <c r="D3" t="s">
        <v>4</v>
      </c>
      <c r="E3" t="s">
        <v>31</v>
      </c>
      <c r="F3">
        <v>30</v>
      </c>
      <c r="G3">
        <v>1</v>
      </c>
      <c r="H3">
        <v>71</v>
      </c>
      <c r="J3" s="2">
        <f t="shared" ref="J3:J31" si="0">H3*G3</f>
        <v>71</v>
      </c>
      <c r="K3">
        <v>1.5</v>
      </c>
      <c r="L3" s="2">
        <f t="shared" ref="L3:L31" si="1">SUMIFS(M3:M3, A3:A3, "Y")</f>
        <v>1.5</v>
      </c>
      <c r="M3" s="2">
        <f t="shared" ref="M3:M31" si="2">K3*G3</f>
        <v>1.5</v>
      </c>
      <c r="N3">
        <v>1.2</v>
      </c>
      <c r="P3" t="s">
        <v>55</v>
      </c>
      <c r="Q3">
        <v>1.2</v>
      </c>
      <c r="R3" t="s">
        <v>4</v>
      </c>
      <c r="S3">
        <v>5.15</v>
      </c>
      <c r="T3">
        <v>236</v>
      </c>
      <c r="U3" t="s">
        <v>28</v>
      </c>
      <c r="V3" t="s">
        <v>45</v>
      </c>
    </row>
    <row r="4" spans="1:22" x14ac:dyDescent="0.25">
      <c r="A4" t="s">
        <v>30</v>
      </c>
      <c r="B4" t="s">
        <v>7</v>
      </c>
      <c r="C4" t="s">
        <v>4</v>
      </c>
      <c r="D4" t="s">
        <v>4</v>
      </c>
      <c r="E4" t="s">
        <v>40</v>
      </c>
      <c r="F4">
        <v>30</v>
      </c>
      <c r="G4">
        <v>5</v>
      </c>
      <c r="H4">
        <v>76</v>
      </c>
      <c r="J4" s="2">
        <f t="shared" si="0"/>
        <v>380</v>
      </c>
      <c r="K4">
        <v>1.9</v>
      </c>
      <c r="L4" s="2">
        <f t="shared" si="1"/>
        <v>9.5</v>
      </c>
      <c r="M4" s="2">
        <f t="shared" si="2"/>
        <v>9.5</v>
      </c>
      <c r="P4" t="s">
        <v>55</v>
      </c>
      <c r="Q4">
        <v>1.3</v>
      </c>
      <c r="R4" t="s">
        <v>4</v>
      </c>
      <c r="S4">
        <v>2.4</v>
      </c>
      <c r="T4">
        <v>78</v>
      </c>
      <c r="U4" t="s">
        <v>46</v>
      </c>
    </row>
    <row r="5" spans="1:22" x14ac:dyDescent="0.25">
      <c r="A5" t="s">
        <v>30</v>
      </c>
      <c r="B5" t="s">
        <v>8</v>
      </c>
      <c r="C5" t="s">
        <v>4</v>
      </c>
      <c r="D5" t="s">
        <v>4</v>
      </c>
      <c r="E5" t="s">
        <v>40</v>
      </c>
      <c r="F5">
        <v>30</v>
      </c>
      <c r="G5">
        <v>1</v>
      </c>
      <c r="H5">
        <v>76</v>
      </c>
      <c r="J5" s="2">
        <f t="shared" si="0"/>
        <v>76</v>
      </c>
      <c r="L5" s="2">
        <f t="shared" si="1"/>
        <v>0</v>
      </c>
      <c r="M5" s="2">
        <f t="shared" si="2"/>
        <v>0</v>
      </c>
      <c r="P5" t="s">
        <v>55</v>
      </c>
      <c r="Q5">
        <v>1.4</v>
      </c>
      <c r="R5" t="s">
        <v>4</v>
      </c>
      <c r="S5">
        <v>2.8</v>
      </c>
      <c r="T5">
        <v>103</v>
      </c>
      <c r="U5" t="s">
        <v>49</v>
      </c>
    </row>
    <row r="6" spans="1:22" x14ac:dyDescent="0.25">
      <c r="A6" t="s">
        <v>30</v>
      </c>
      <c r="B6" t="s">
        <v>9</v>
      </c>
      <c r="C6" t="s">
        <v>31</v>
      </c>
      <c r="D6" t="s">
        <v>31</v>
      </c>
      <c r="E6" t="s">
        <v>31</v>
      </c>
      <c r="F6">
        <v>50</v>
      </c>
      <c r="G6">
        <v>1</v>
      </c>
      <c r="H6">
        <v>762</v>
      </c>
      <c r="I6">
        <v>775</v>
      </c>
      <c r="J6" s="2">
        <f t="shared" si="0"/>
        <v>762</v>
      </c>
      <c r="K6">
        <v>15.4</v>
      </c>
      <c r="L6" s="2">
        <f t="shared" si="1"/>
        <v>15.4</v>
      </c>
      <c r="M6" s="2">
        <f t="shared" si="2"/>
        <v>15.4</v>
      </c>
      <c r="N6">
        <v>1.5</v>
      </c>
      <c r="P6" t="s">
        <v>56</v>
      </c>
      <c r="Q6">
        <v>2.1</v>
      </c>
      <c r="R6" t="s">
        <v>31</v>
      </c>
      <c r="S6">
        <v>13.25</v>
      </c>
      <c r="T6">
        <v>392</v>
      </c>
      <c r="U6" t="s">
        <v>53</v>
      </c>
    </row>
    <row r="7" spans="1:22" x14ac:dyDescent="0.25">
      <c r="A7" t="s">
        <v>30</v>
      </c>
      <c r="B7" t="s">
        <v>10</v>
      </c>
      <c r="C7" t="s">
        <v>31</v>
      </c>
      <c r="D7" t="s">
        <v>4</v>
      </c>
      <c r="E7" t="s">
        <v>31</v>
      </c>
      <c r="F7">
        <v>30</v>
      </c>
      <c r="G7">
        <v>1</v>
      </c>
      <c r="H7">
        <v>47</v>
      </c>
      <c r="J7" s="2">
        <f t="shared" si="0"/>
        <v>47</v>
      </c>
      <c r="K7">
        <v>1</v>
      </c>
      <c r="L7" s="2">
        <f t="shared" si="1"/>
        <v>1</v>
      </c>
      <c r="M7" s="2">
        <f t="shared" si="2"/>
        <v>1</v>
      </c>
      <c r="N7">
        <v>1.2</v>
      </c>
      <c r="P7" t="s">
        <v>56</v>
      </c>
      <c r="Q7" t="s">
        <v>57</v>
      </c>
      <c r="R7" t="s">
        <v>31</v>
      </c>
      <c r="S7">
        <v>0.7</v>
      </c>
      <c r="T7">
        <v>21</v>
      </c>
      <c r="U7" t="s">
        <v>50</v>
      </c>
    </row>
    <row r="8" spans="1:22" x14ac:dyDescent="0.25">
      <c r="A8" t="s">
        <v>30</v>
      </c>
      <c r="B8" t="s">
        <v>11</v>
      </c>
      <c r="C8" t="s">
        <v>31</v>
      </c>
      <c r="D8" t="s">
        <v>4</v>
      </c>
      <c r="E8" t="s">
        <v>31</v>
      </c>
      <c r="F8">
        <v>30</v>
      </c>
      <c r="G8">
        <v>1</v>
      </c>
      <c r="H8">
        <v>40</v>
      </c>
      <c r="J8" s="2">
        <f t="shared" si="0"/>
        <v>40</v>
      </c>
      <c r="K8">
        <v>0.9</v>
      </c>
      <c r="L8" s="2">
        <f t="shared" si="1"/>
        <v>0.9</v>
      </c>
      <c r="M8" s="2">
        <f t="shared" si="2"/>
        <v>0.9</v>
      </c>
      <c r="N8">
        <v>1.2</v>
      </c>
      <c r="P8" t="s">
        <v>55</v>
      </c>
      <c r="Q8">
        <v>3.1</v>
      </c>
      <c r="R8" t="s">
        <v>40</v>
      </c>
      <c r="S8">
        <v>2.15</v>
      </c>
      <c r="T8">
        <v>63</v>
      </c>
      <c r="U8" t="s">
        <v>58</v>
      </c>
    </row>
    <row r="9" spans="1:22" x14ac:dyDescent="0.25">
      <c r="B9" t="s">
        <v>12</v>
      </c>
      <c r="C9" t="s">
        <v>103</v>
      </c>
      <c r="D9" t="s">
        <v>103</v>
      </c>
      <c r="E9" t="s">
        <v>103</v>
      </c>
      <c r="F9">
        <v>30</v>
      </c>
      <c r="G9">
        <v>5</v>
      </c>
      <c r="H9">
        <v>6</v>
      </c>
      <c r="J9" s="2">
        <f t="shared" si="0"/>
        <v>30</v>
      </c>
      <c r="K9">
        <v>0.2</v>
      </c>
      <c r="L9" s="2">
        <f t="shared" si="1"/>
        <v>0</v>
      </c>
      <c r="M9" s="2">
        <f t="shared" si="2"/>
        <v>1</v>
      </c>
      <c r="N9">
        <v>3.1</v>
      </c>
      <c r="P9" t="s">
        <v>56</v>
      </c>
      <c r="Q9">
        <v>2.1</v>
      </c>
      <c r="R9" t="s">
        <v>31</v>
      </c>
      <c r="S9">
        <v>13.25</v>
      </c>
      <c r="T9">
        <v>392</v>
      </c>
      <c r="U9" t="s">
        <v>53</v>
      </c>
    </row>
    <row r="10" spans="1:22" x14ac:dyDescent="0.25">
      <c r="A10" t="s">
        <v>30</v>
      </c>
      <c r="B10" t="s">
        <v>13</v>
      </c>
      <c r="C10" t="s">
        <v>103</v>
      </c>
      <c r="D10" t="s">
        <v>103</v>
      </c>
      <c r="E10" t="s">
        <v>103</v>
      </c>
      <c r="F10">
        <v>30</v>
      </c>
      <c r="G10">
        <v>1</v>
      </c>
      <c r="H10">
        <v>35</v>
      </c>
      <c r="J10" s="2">
        <f t="shared" si="0"/>
        <v>35</v>
      </c>
      <c r="K10">
        <v>1.1499999999999999</v>
      </c>
      <c r="L10" s="2">
        <f t="shared" si="1"/>
        <v>1.1499999999999999</v>
      </c>
      <c r="M10" s="2">
        <f t="shared" si="2"/>
        <v>1.1499999999999999</v>
      </c>
      <c r="N10">
        <v>3.1</v>
      </c>
      <c r="P10" t="s">
        <v>56</v>
      </c>
      <c r="Q10" s="4">
        <v>2.2000000000000002</v>
      </c>
      <c r="R10" t="s">
        <v>31</v>
      </c>
      <c r="S10">
        <v>13.25</v>
      </c>
      <c r="T10">
        <v>392</v>
      </c>
      <c r="U10" t="s">
        <v>60</v>
      </c>
    </row>
    <row r="11" spans="1:22" x14ac:dyDescent="0.25">
      <c r="A11" t="s">
        <v>30</v>
      </c>
      <c r="B11" t="s">
        <v>14</v>
      </c>
      <c r="C11" t="s">
        <v>31</v>
      </c>
      <c r="D11" t="s">
        <v>31</v>
      </c>
      <c r="E11" t="s">
        <v>4</v>
      </c>
      <c r="F11">
        <v>30</v>
      </c>
      <c r="G11">
        <v>1</v>
      </c>
      <c r="H11">
        <v>6</v>
      </c>
      <c r="J11" s="2">
        <f t="shared" si="0"/>
        <v>6</v>
      </c>
      <c r="K11">
        <v>0.4</v>
      </c>
      <c r="L11" s="2">
        <f t="shared" si="1"/>
        <v>0.4</v>
      </c>
      <c r="M11" s="2">
        <f t="shared" si="2"/>
        <v>0.4</v>
      </c>
      <c r="N11">
        <v>2.2999999999999998</v>
      </c>
    </row>
    <row r="12" spans="1:22" x14ac:dyDescent="0.25">
      <c r="A12" t="s">
        <v>30</v>
      </c>
      <c r="B12" t="s">
        <v>15</v>
      </c>
      <c r="C12" t="s">
        <v>31</v>
      </c>
      <c r="D12" t="s">
        <v>31</v>
      </c>
      <c r="E12" t="s">
        <v>31</v>
      </c>
      <c r="F12">
        <v>30</v>
      </c>
      <c r="G12">
        <v>1</v>
      </c>
      <c r="H12">
        <v>3</v>
      </c>
      <c r="J12" s="2">
        <f t="shared" si="0"/>
        <v>3</v>
      </c>
      <c r="K12">
        <v>0.2</v>
      </c>
      <c r="L12" s="2">
        <f t="shared" si="1"/>
        <v>0.2</v>
      </c>
      <c r="M12" s="2">
        <f t="shared" si="2"/>
        <v>0.2</v>
      </c>
      <c r="N12">
        <v>2.2999999999999998</v>
      </c>
      <c r="P12" t="s">
        <v>56</v>
      </c>
      <c r="Q12" s="4" t="s">
        <v>62</v>
      </c>
      <c r="R12" t="s">
        <v>31</v>
      </c>
      <c r="S12">
        <v>1</v>
      </c>
      <c r="T12">
        <v>19</v>
      </c>
      <c r="U12" t="s">
        <v>61</v>
      </c>
    </row>
    <row r="13" spans="1:22" x14ac:dyDescent="0.25">
      <c r="A13" t="s">
        <v>30</v>
      </c>
      <c r="B13" t="s">
        <v>16</v>
      </c>
      <c r="C13" t="s">
        <v>31</v>
      </c>
      <c r="D13" t="s">
        <v>31</v>
      </c>
      <c r="E13" t="s">
        <v>31</v>
      </c>
      <c r="F13">
        <v>30</v>
      </c>
      <c r="G13">
        <v>1</v>
      </c>
      <c r="H13">
        <v>5</v>
      </c>
      <c r="J13" s="2">
        <f t="shared" si="0"/>
        <v>5</v>
      </c>
      <c r="K13">
        <v>0.3</v>
      </c>
      <c r="L13" s="2">
        <f t="shared" si="1"/>
        <v>0.3</v>
      </c>
      <c r="M13" s="2">
        <f t="shared" si="2"/>
        <v>0.3</v>
      </c>
      <c r="N13">
        <v>2.2999999999999998</v>
      </c>
    </row>
    <row r="14" spans="1:22" x14ac:dyDescent="0.25">
      <c r="A14" t="s">
        <v>30</v>
      </c>
      <c r="B14" t="s">
        <v>17</v>
      </c>
      <c r="C14" t="s">
        <v>4</v>
      </c>
      <c r="D14" t="s">
        <v>4</v>
      </c>
      <c r="E14" t="s">
        <v>4</v>
      </c>
      <c r="F14">
        <v>30</v>
      </c>
      <c r="G14">
        <v>1</v>
      </c>
      <c r="H14">
        <v>42</v>
      </c>
      <c r="J14" s="2">
        <f t="shared" si="0"/>
        <v>42</v>
      </c>
      <c r="K14">
        <v>1.1000000000000001</v>
      </c>
      <c r="L14" s="2">
        <f t="shared" si="1"/>
        <v>1.1000000000000001</v>
      </c>
      <c r="M14" s="2">
        <f t="shared" si="2"/>
        <v>1.1000000000000001</v>
      </c>
      <c r="N14">
        <v>1.4</v>
      </c>
    </row>
    <row r="15" spans="1:22" x14ac:dyDescent="0.25">
      <c r="A15" t="s">
        <v>30</v>
      </c>
      <c r="B15" t="s">
        <v>18</v>
      </c>
      <c r="C15" t="s">
        <v>4</v>
      </c>
      <c r="D15" t="s">
        <v>4</v>
      </c>
      <c r="E15" t="s">
        <v>4</v>
      </c>
      <c r="F15">
        <v>30</v>
      </c>
      <c r="G15">
        <v>1</v>
      </c>
      <c r="H15">
        <v>32</v>
      </c>
      <c r="J15" s="2">
        <f t="shared" si="0"/>
        <v>32</v>
      </c>
      <c r="K15">
        <v>1.1000000000000001</v>
      </c>
      <c r="L15" s="2">
        <f t="shared" si="1"/>
        <v>1.1000000000000001</v>
      </c>
      <c r="M15" s="2">
        <f t="shared" si="2"/>
        <v>1.1000000000000001</v>
      </c>
      <c r="N15">
        <v>1.4</v>
      </c>
    </row>
    <row r="16" spans="1:22" x14ac:dyDescent="0.25">
      <c r="A16" t="s">
        <v>30</v>
      </c>
      <c r="B16" t="s">
        <v>19</v>
      </c>
      <c r="C16" t="s">
        <v>31</v>
      </c>
      <c r="D16" t="s">
        <v>31</v>
      </c>
      <c r="E16" t="s">
        <v>31</v>
      </c>
      <c r="F16">
        <v>30</v>
      </c>
      <c r="G16">
        <v>1</v>
      </c>
      <c r="H16">
        <v>3</v>
      </c>
      <c r="J16" s="2">
        <f t="shared" si="0"/>
        <v>3</v>
      </c>
      <c r="K16">
        <v>0.2</v>
      </c>
      <c r="L16" s="2">
        <f t="shared" si="1"/>
        <v>0.2</v>
      </c>
      <c r="M16" s="2">
        <f t="shared" si="2"/>
        <v>0.2</v>
      </c>
      <c r="N16">
        <v>2.2999999999999998</v>
      </c>
    </row>
    <row r="17" spans="1:14" x14ac:dyDescent="0.25">
      <c r="A17" t="s">
        <v>30</v>
      </c>
      <c r="B17" t="s">
        <v>20</v>
      </c>
      <c r="C17" t="s">
        <v>31</v>
      </c>
      <c r="D17" t="s">
        <v>31</v>
      </c>
      <c r="E17" t="s">
        <v>31</v>
      </c>
      <c r="F17">
        <v>30</v>
      </c>
      <c r="G17">
        <v>1</v>
      </c>
      <c r="H17">
        <v>5</v>
      </c>
      <c r="J17" s="2">
        <f t="shared" si="0"/>
        <v>5</v>
      </c>
      <c r="K17">
        <v>0.3</v>
      </c>
      <c r="L17" s="2">
        <f t="shared" si="1"/>
        <v>0.3</v>
      </c>
      <c r="M17" s="2">
        <f t="shared" si="2"/>
        <v>0.3</v>
      </c>
      <c r="N17">
        <v>2.2999999999999998</v>
      </c>
    </row>
    <row r="18" spans="1:14" x14ac:dyDescent="0.25">
      <c r="A18" t="s">
        <v>30</v>
      </c>
      <c r="B18" t="s">
        <v>21</v>
      </c>
      <c r="C18" t="s">
        <v>4</v>
      </c>
      <c r="D18" t="s">
        <v>4</v>
      </c>
      <c r="E18" t="s">
        <v>4</v>
      </c>
      <c r="F18">
        <v>30</v>
      </c>
      <c r="G18">
        <v>1</v>
      </c>
      <c r="H18">
        <v>16</v>
      </c>
      <c r="J18" s="2">
        <f t="shared" si="0"/>
        <v>16</v>
      </c>
      <c r="K18">
        <v>0.5</v>
      </c>
      <c r="L18" s="2">
        <f t="shared" si="1"/>
        <v>0.5</v>
      </c>
      <c r="M18" s="2">
        <f t="shared" si="2"/>
        <v>0.5</v>
      </c>
      <c r="N18">
        <v>1.4</v>
      </c>
    </row>
    <row r="19" spans="1:14" x14ac:dyDescent="0.25">
      <c r="A19" t="s">
        <v>30</v>
      </c>
      <c r="B19" t="s">
        <v>22</v>
      </c>
      <c r="C19" t="s">
        <v>4</v>
      </c>
      <c r="D19" t="s">
        <v>4</v>
      </c>
      <c r="E19" t="s">
        <v>4</v>
      </c>
      <c r="F19">
        <v>30</v>
      </c>
      <c r="G19">
        <v>1</v>
      </c>
      <c r="H19">
        <v>13</v>
      </c>
      <c r="J19" s="2">
        <f t="shared" si="0"/>
        <v>13</v>
      </c>
      <c r="K19">
        <v>0.5</v>
      </c>
      <c r="L19" s="2">
        <f t="shared" si="1"/>
        <v>0.5</v>
      </c>
      <c r="M19" s="2">
        <f t="shared" si="2"/>
        <v>0.5</v>
      </c>
      <c r="N19">
        <v>1.4</v>
      </c>
    </row>
    <row r="20" spans="1:14" x14ac:dyDescent="0.25">
      <c r="A20" t="s">
        <v>30</v>
      </c>
      <c r="B20" t="s">
        <v>23</v>
      </c>
      <c r="C20" t="s">
        <v>4</v>
      </c>
      <c r="D20" t="s">
        <v>4</v>
      </c>
      <c r="E20" t="s">
        <v>40</v>
      </c>
      <c r="F20">
        <v>30</v>
      </c>
      <c r="G20">
        <v>8</v>
      </c>
      <c r="H20">
        <v>18</v>
      </c>
      <c r="J20" s="2">
        <f t="shared" si="0"/>
        <v>144</v>
      </c>
      <c r="K20">
        <v>0.55000000000000004</v>
      </c>
      <c r="L20" s="2">
        <f t="shared" si="1"/>
        <v>4.4000000000000004</v>
      </c>
      <c r="M20" s="2">
        <f t="shared" si="2"/>
        <v>4.4000000000000004</v>
      </c>
      <c r="N20">
        <v>1.1000000000000001</v>
      </c>
    </row>
    <row r="21" spans="1:14" x14ac:dyDescent="0.25">
      <c r="A21" t="s">
        <v>30</v>
      </c>
      <c r="B21" t="s">
        <v>24</v>
      </c>
      <c r="C21" t="s">
        <v>4</v>
      </c>
      <c r="D21" t="s">
        <v>31</v>
      </c>
      <c r="E21" t="s">
        <v>4</v>
      </c>
      <c r="F21">
        <v>35</v>
      </c>
      <c r="G21">
        <v>1</v>
      </c>
      <c r="H21">
        <v>430</v>
      </c>
      <c r="J21" s="2">
        <f>H21*G21</f>
        <v>430</v>
      </c>
      <c r="K21">
        <v>9.25</v>
      </c>
      <c r="L21" s="2">
        <f t="shared" si="1"/>
        <v>9.25</v>
      </c>
      <c r="M21" s="2">
        <f t="shared" si="2"/>
        <v>9.25</v>
      </c>
      <c r="N21">
        <v>2.2000000000000002</v>
      </c>
    </row>
    <row r="22" spans="1:14" x14ac:dyDescent="0.25">
      <c r="A22" t="s">
        <v>30</v>
      </c>
      <c r="B22" t="s">
        <v>33</v>
      </c>
      <c r="C22" t="s">
        <v>4</v>
      </c>
      <c r="D22" t="s">
        <v>31</v>
      </c>
      <c r="E22" t="s">
        <v>4</v>
      </c>
      <c r="F22">
        <v>35</v>
      </c>
      <c r="G22">
        <v>1</v>
      </c>
      <c r="H22">
        <v>430</v>
      </c>
      <c r="J22" s="2">
        <f t="shared" si="0"/>
        <v>430</v>
      </c>
      <c r="K22">
        <v>9.25</v>
      </c>
      <c r="L22" s="2">
        <f t="shared" si="1"/>
        <v>9.25</v>
      </c>
      <c r="M22" s="2">
        <f t="shared" si="2"/>
        <v>9.25</v>
      </c>
      <c r="N22">
        <v>2.1</v>
      </c>
    </row>
    <row r="23" spans="1:14" x14ac:dyDescent="0.25">
      <c r="A23" t="s">
        <v>30</v>
      </c>
      <c r="B23" t="s">
        <v>35</v>
      </c>
      <c r="C23" t="s">
        <v>4</v>
      </c>
      <c r="D23" t="s">
        <v>4</v>
      </c>
      <c r="E23" t="s">
        <v>31</v>
      </c>
      <c r="F23">
        <v>30</v>
      </c>
      <c r="G23">
        <v>2</v>
      </c>
      <c r="H23">
        <v>7</v>
      </c>
      <c r="J23" s="2">
        <f t="shared" si="0"/>
        <v>14</v>
      </c>
      <c r="L23" s="2">
        <f t="shared" si="1"/>
        <v>0</v>
      </c>
      <c r="M23" s="2">
        <f t="shared" si="2"/>
        <v>0</v>
      </c>
      <c r="N23">
        <v>1.3</v>
      </c>
    </row>
    <row r="24" spans="1:14" x14ac:dyDescent="0.25">
      <c r="A24" t="s">
        <v>30</v>
      </c>
      <c r="B24" t="s">
        <v>36</v>
      </c>
      <c r="C24" t="s">
        <v>4</v>
      </c>
      <c r="D24" t="s">
        <v>4</v>
      </c>
      <c r="E24" t="s">
        <v>31</v>
      </c>
      <c r="F24">
        <v>30</v>
      </c>
      <c r="G24">
        <v>1</v>
      </c>
      <c r="H24">
        <v>23</v>
      </c>
      <c r="J24" s="2">
        <f t="shared" si="0"/>
        <v>23</v>
      </c>
      <c r="K24">
        <v>0.7</v>
      </c>
      <c r="L24" s="2">
        <f t="shared" si="1"/>
        <v>0.7</v>
      </c>
      <c r="M24" s="2">
        <f t="shared" si="2"/>
        <v>0.7</v>
      </c>
      <c r="N24">
        <v>1.3</v>
      </c>
    </row>
    <row r="25" spans="1:14" x14ac:dyDescent="0.25">
      <c r="A25" t="s">
        <v>30</v>
      </c>
      <c r="B25" t="s">
        <v>25</v>
      </c>
      <c r="C25" t="s">
        <v>4</v>
      </c>
      <c r="D25" t="s">
        <v>4</v>
      </c>
      <c r="E25" t="s">
        <v>31</v>
      </c>
      <c r="F25">
        <v>30</v>
      </c>
      <c r="G25">
        <v>1</v>
      </c>
      <c r="H25">
        <v>24</v>
      </c>
      <c r="J25" s="2">
        <f t="shared" si="0"/>
        <v>24</v>
      </c>
      <c r="K25">
        <v>0.75</v>
      </c>
      <c r="L25" s="2">
        <f t="shared" si="1"/>
        <v>0.75</v>
      </c>
      <c r="M25" s="2">
        <f t="shared" si="2"/>
        <v>0.75</v>
      </c>
      <c r="N25">
        <v>1.3</v>
      </c>
    </row>
    <row r="26" spans="1:14" x14ac:dyDescent="0.25">
      <c r="A26" t="s">
        <v>30</v>
      </c>
      <c r="B26" t="s">
        <v>37</v>
      </c>
      <c r="C26" t="s">
        <v>31</v>
      </c>
      <c r="D26" t="s">
        <v>4</v>
      </c>
      <c r="E26" t="s">
        <v>31</v>
      </c>
      <c r="F26">
        <v>30</v>
      </c>
      <c r="G26">
        <v>1</v>
      </c>
      <c r="H26">
        <v>10</v>
      </c>
      <c r="J26" s="2">
        <f t="shared" si="0"/>
        <v>10</v>
      </c>
      <c r="K26">
        <v>0.6</v>
      </c>
      <c r="L26" s="2">
        <f t="shared" si="1"/>
        <v>0.6</v>
      </c>
      <c r="M26" s="2">
        <f t="shared" si="2"/>
        <v>0.6</v>
      </c>
      <c r="N26">
        <v>1.3</v>
      </c>
    </row>
    <row r="27" spans="1:14" x14ac:dyDescent="0.25">
      <c r="A27" t="s">
        <v>30</v>
      </c>
      <c r="B27" t="s">
        <v>38</v>
      </c>
      <c r="C27" t="s">
        <v>31</v>
      </c>
      <c r="D27" t="s">
        <v>4</v>
      </c>
      <c r="E27" t="s">
        <v>31</v>
      </c>
      <c r="F27">
        <v>30</v>
      </c>
      <c r="G27">
        <v>1</v>
      </c>
      <c r="H27">
        <v>10</v>
      </c>
      <c r="J27" s="2">
        <f t="shared" si="0"/>
        <v>10</v>
      </c>
      <c r="K27">
        <f>36/60</f>
        <v>0.6</v>
      </c>
      <c r="L27" s="2">
        <f t="shared" si="1"/>
        <v>0.6</v>
      </c>
      <c r="M27" s="2">
        <f t="shared" si="2"/>
        <v>0.6</v>
      </c>
      <c r="N27">
        <v>1.3</v>
      </c>
    </row>
    <row r="28" spans="1:14" x14ac:dyDescent="0.25">
      <c r="A28" t="s">
        <v>30</v>
      </c>
      <c r="B28" t="s">
        <v>116</v>
      </c>
      <c r="C28" t="s">
        <v>4</v>
      </c>
      <c r="D28" t="s">
        <v>4</v>
      </c>
      <c r="E28" t="s">
        <v>4</v>
      </c>
      <c r="F28">
        <v>30</v>
      </c>
      <c r="G28">
        <v>1</v>
      </c>
      <c r="J28" s="2">
        <f t="shared" si="0"/>
        <v>0</v>
      </c>
      <c r="L28" s="2">
        <f t="shared" si="1"/>
        <v>0</v>
      </c>
      <c r="M28" s="2">
        <f t="shared" si="2"/>
        <v>0</v>
      </c>
    </row>
    <row r="29" spans="1:14" x14ac:dyDescent="0.25">
      <c r="A29" t="s">
        <v>30</v>
      </c>
      <c r="B29" t="s">
        <v>117</v>
      </c>
      <c r="C29" t="s">
        <v>4</v>
      </c>
      <c r="D29" t="s">
        <v>31</v>
      </c>
      <c r="E29" t="s">
        <v>40</v>
      </c>
      <c r="F29">
        <v>30</v>
      </c>
      <c r="G29">
        <v>1</v>
      </c>
      <c r="J29" s="2">
        <f t="shared" si="0"/>
        <v>0</v>
      </c>
      <c r="L29" s="2">
        <f t="shared" si="1"/>
        <v>0</v>
      </c>
      <c r="M29" s="2">
        <f t="shared" si="2"/>
        <v>0</v>
      </c>
    </row>
    <row r="30" spans="1:14" x14ac:dyDescent="0.25">
      <c r="A30" t="s">
        <v>30</v>
      </c>
      <c r="B30" t="s">
        <v>119</v>
      </c>
      <c r="C30" t="s">
        <v>118</v>
      </c>
      <c r="D30" t="s">
        <v>118</v>
      </c>
      <c r="E30" t="s">
        <v>31</v>
      </c>
      <c r="F30">
        <v>50</v>
      </c>
      <c r="G30">
        <v>1</v>
      </c>
      <c r="H30">
        <v>60</v>
      </c>
      <c r="J30" s="2">
        <f t="shared" si="0"/>
        <v>60</v>
      </c>
      <c r="L30" s="2">
        <f t="shared" si="1"/>
        <v>0</v>
      </c>
      <c r="M30" s="2">
        <f t="shared" si="2"/>
        <v>0</v>
      </c>
    </row>
    <row r="31" spans="1:14" x14ac:dyDescent="0.25">
      <c r="A31" t="s">
        <v>30</v>
      </c>
      <c r="B31" t="s">
        <v>120</v>
      </c>
      <c r="C31" t="s">
        <v>118</v>
      </c>
      <c r="D31" t="s">
        <v>118</v>
      </c>
      <c r="E31" t="s">
        <v>31</v>
      </c>
      <c r="F31">
        <v>50</v>
      </c>
      <c r="G31">
        <v>1</v>
      </c>
      <c r="H31">
        <v>57</v>
      </c>
      <c r="J31" s="2">
        <f t="shared" si="0"/>
        <v>57</v>
      </c>
      <c r="L31" s="2">
        <f t="shared" si="1"/>
        <v>0</v>
      </c>
      <c r="M31" s="2">
        <f t="shared" si="2"/>
        <v>0</v>
      </c>
    </row>
    <row r="33" spans="2:14" x14ac:dyDescent="0.25">
      <c r="B33" s="1" t="s">
        <v>63</v>
      </c>
      <c r="J33" s="2">
        <f>SUM(J2:J27)</f>
        <v>2729</v>
      </c>
      <c r="L33" s="13">
        <f>SUM(L2:L32)/M33</f>
        <v>0.98368678629690054</v>
      </c>
      <c r="M33" s="3">
        <f>SUM(M2:M27)</f>
        <v>61.300000000000004</v>
      </c>
      <c r="N33" t="s">
        <v>59</v>
      </c>
    </row>
    <row r="34" spans="2:14" x14ac:dyDescent="0.25">
      <c r="B34" t="s">
        <v>41</v>
      </c>
      <c r="C34">
        <f>SUMIFS(J2:J27, C2:C27, "A")</f>
        <v>1040</v>
      </c>
      <c r="D34">
        <f>SUMIFS(J2:J27, D2:D27, "A")</f>
        <v>1644</v>
      </c>
      <c r="E34">
        <f>SUMIFS(J2:J27, E2:E27, "A")</f>
        <v>1095</v>
      </c>
    </row>
    <row r="35" spans="2:14" x14ac:dyDescent="0.25">
      <c r="B35" t="s">
        <v>42</v>
      </c>
      <c r="C35">
        <f>SUMIFS(J2:J27, C2:C27, "B")</f>
        <v>1624</v>
      </c>
      <c r="D35">
        <f>SUMIFS(J2:J27, D2:D27, "B")</f>
        <v>1020</v>
      </c>
      <c r="E35">
        <f>SUMIFS(J2:J27, E2:E27, "B")</f>
        <v>969</v>
      </c>
    </row>
    <row r="36" spans="2:14" x14ac:dyDescent="0.25">
      <c r="B36" t="s">
        <v>111</v>
      </c>
      <c r="C36">
        <f>SUMIFS(J2:J27, C2:C27, "C")</f>
        <v>0</v>
      </c>
      <c r="D36">
        <f>SUMIFS(J2:J27, D2:D27, "C")</f>
        <v>0</v>
      </c>
      <c r="E36">
        <f>SUMIFS(J2:J27, E2:E27, "C")</f>
        <v>600</v>
      </c>
    </row>
    <row r="37" spans="2:14" x14ac:dyDescent="0.25">
      <c r="B37" t="s">
        <v>110</v>
      </c>
      <c r="C37">
        <f>SUMIFS(J2:J27, C2:C27, "D")</f>
        <v>65</v>
      </c>
      <c r="D37">
        <f>SUMIFS(J2:J27, D2:D27, "D")</f>
        <v>65</v>
      </c>
      <c r="E37">
        <f>SUMIFS(J2:J27, E2:E27, "D")</f>
        <v>65</v>
      </c>
    </row>
    <row r="38" spans="2:14" x14ac:dyDescent="0.25">
      <c r="C38">
        <f>SUM(C34:C36)</f>
        <v>2664</v>
      </c>
      <c r="D38">
        <f>SUM(D34:D36)</f>
        <v>2664</v>
      </c>
      <c r="E38">
        <f>SUM(E34:E36)</f>
        <v>2664</v>
      </c>
    </row>
    <row r="39" spans="2:14" x14ac:dyDescent="0.25">
      <c r="B39" t="s">
        <v>31</v>
      </c>
      <c r="C39" t="s">
        <v>113</v>
      </c>
      <c r="D39" t="s">
        <v>100</v>
      </c>
      <c r="E39" t="s">
        <v>100</v>
      </c>
    </row>
    <row r="40" spans="2:14" x14ac:dyDescent="0.25">
      <c r="B40" t="s">
        <v>4</v>
      </c>
      <c r="C40" t="s">
        <v>114</v>
      </c>
      <c r="D40" t="s">
        <v>112</v>
      </c>
      <c r="E40" t="s">
        <v>101</v>
      </c>
    </row>
    <row r="41" spans="2:14" x14ac:dyDescent="0.25">
      <c r="B41" t="s">
        <v>40</v>
      </c>
      <c r="E41" t="s">
        <v>102</v>
      </c>
    </row>
    <row r="42" spans="2:14" x14ac:dyDescent="0.25">
      <c r="B42" t="s">
        <v>103</v>
      </c>
      <c r="C42" t="s">
        <v>114</v>
      </c>
      <c r="D42" t="s">
        <v>100</v>
      </c>
      <c r="E42" t="s">
        <v>100</v>
      </c>
    </row>
  </sheetData>
  <autoFilter ref="A1:V27" xr:uid="{D9A6154C-C6F0-467A-9591-D967B6CEDC54}"/>
  <conditionalFormatting sqref="L2:L3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{7213C63F-B6D4-47C1-8245-0C37ADFEA64E}</x14:id>
        </ext>
      </extLst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13C63F-B6D4-47C1-8245-0C37ADFEA6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L2:L33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612C-B255-4716-88FA-C10C76483547}">
  <dimension ref="A1:M23"/>
  <sheetViews>
    <sheetView tabSelected="1" zoomScale="160" zoomScaleNormal="160" workbookViewId="0">
      <selection activeCell="D4" sqref="D4"/>
    </sheetView>
  </sheetViews>
  <sheetFormatPr defaultRowHeight="15" x14ac:dyDescent="0.25"/>
  <cols>
    <col min="1" max="1" width="22.140625" style="5" customWidth="1"/>
    <col min="2" max="2" width="4.5703125" style="5" customWidth="1"/>
    <col min="3" max="3" width="5.7109375" style="5" customWidth="1"/>
    <col min="4" max="4" width="19.28515625" style="5" customWidth="1"/>
    <col min="5" max="5" width="17.42578125" style="5" bestFit="1" customWidth="1"/>
    <col min="6" max="6" width="14.140625" style="5" customWidth="1"/>
    <col min="7" max="8" width="10.7109375" style="5" customWidth="1"/>
    <col min="9" max="16384" width="9.140625" style="5"/>
  </cols>
  <sheetData>
    <row r="1" spans="1:13" x14ac:dyDescent="0.25">
      <c r="A1" s="14" t="s">
        <v>66</v>
      </c>
      <c r="B1" s="14"/>
      <c r="C1" s="14"/>
      <c r="D1" s="14"/>
      <c r="E1" s="14"/>
      <c r="F1" s="14"/>
      <c r="G1" s="14"/>
      <c r="H1" s="14"/>
      <c r="I1" s="14"/>
      <c r="J1" s="14"/>
    </row>
    <row r="2" spans="1:13" x14ac:dyDescent="0.25">
      <c r="B2" s="5" t="s">
        <v>0</v>
      </c>
      <c r="C2" s="5" t="s">
        <v>89</v>
      </c>
      <c r="D2" s="11" t="s">
        <v>68</v>
      </c>
      <c r="E2" s="11" t="s">
        <v>69</v>
      </c>
      <c r="F2" s="6" t="s">
        <v>44</v>
      </c>
    </row>
    <row r="3" spans="1:13" x14ac:dyDescent="0.25">
      <c r="A3" s="5" t="s">
        <v>70</v>
      </c>
      <c r="D3" s="10">
        <v>26</v>
      </c>
      <c r="E3" s="7">
        <f>25.4 *D3</f>
        <v>660.4</v>
      </c>
      <c r="F3" s="8"/>
      <c r="K3" s="5" t="s">
        <v>70</v>
      </c>
      <c r="L3" s="5" t="s">
        <v>71</v>
      </c>
    </row>
    <row r="4" spans="1:13" x14ac:dyDescent="0.25">
      <c r="A4" s="5" t="s">
        <v>71</v>
      </c>
      <c r="D4" s="10">
        <v>49</v>
      </c>
      <c r="E4" s="7">
        <f>25.4 *D4</f>
        <v>1244.5999999999999</v>
      </c>
      <c r="F4" s="8"/>
      <c r="J4" s="5" t="s">
        <v>122</v>
      </c>
    </row>
    <row r="5" spans="1:13" x14ac:dyDescent="0.25">
      <c r="A5" s="5" t="s">
        <v>72</v>
      </c>
      <c r="E5" s="10">
        <v>80</v>
      </c>
      <c r="F5" s="8"/>
    </row>
    <row r="6" spans="1:13" x14ac:dyDescent="0.25">
      <c r="A6" s="5" t="s">
        <v>67</v>
      </c>
      <c r="E6" s="10">
        <f>25.4/4</f>
        <v>6.35</v>
      </c>
      <c r="F6" s="8"/>
    </row>
    <row r="7" spans="1:13" x14ac:dyDescent="0.25">
      <c r="F7" s="8"/>
    </row>
    <row r="8" spans="1:13" x14ac:dyDescent="0.25">
      <c r="F8" s="8"/>
    </row>
    <row r="9" spans="1:13" x14ac:dyDescent="0.25">
      <c r="A9" s="5" t="s">
        <v>65</v>
      </c>
      <c r="D9" s="2">
        <f>ROUND(E9/25.4,1)</f>
        <v>37.299999999999997</v>
      </c>
      <c r="E9" s="2">
        <f>E3+275+(2*E6)</f>
        <v>948.1</v>
      </c>
      <c r="F9" s="8" t="s">
        <v>78</v>
      </c>
    </row>
    <row r="10" spans="1:13" x14ac:dyDescent="0.25">
      <c r="A10" s="5" t="s">
        <v>64</v>
      </c>
      <c r="D10" s="2">
        <f t="shared" ref="D10:D12" si="0">ROUND(E10/25.4,1)</f>
        <v>61.3</v>
      </c>
      <c r="E10" s="2">
        <f>E4+313</f>
        <v>1557.6</v>
      </c>
      <c r="F10" s="8"/>
      <c r="J10" s="5" t="s">
        <v>121</v>
      </c>
    </row>
    <row r="11" spans="1:13" x14ac:dyDescent="0.25">
      <c r="A11" s="5" t="s">
        <v>74</v>
      </c>
      <c r="D11" s="2">
        <f t="shared" si="0"/>
        <v>32.6</v>
      </c>
      <c r="E11" s="2">
        <f>E3+167.75</f>
        <v>828.15</v>
      </c>
      <c r="F11" s="8" t="s">
        <v>78</v>
      </c>
      <c r="J11" s="5" t="s">
        <v>105</v>
      </c>
      <c r="K11" s="5" t="s">
        <v>104</v>
      </c>
      <c r="L11" s="5" t="s">
        <v>107</v>
      </c>
      <c r="M11" s="5" t="s">
        <v>106</v>
      </c>
    </row>
    <row r="12" spans="1:13" x14ac:dyDescent="0.25">
      <c r="A12" s="5" t="s">
        <v>75</v>
      </c>
      <c r="D12" s="2">
        <f t="shared" si="0"/>
        <v>59</v>
      </c>
      <c r="E12" s="2">
        <f>E4+255</f>
        <v>1499.6</v>
      </c>
      <c r="F12" s="8" t="s">
        <v>73</v>
      </c>
      <c r="J12" s="5">
        <f>76+(96*5)</f>
        <v>556</v>
      </c>
      <c r="K12" s="5">
        <f>J12/25.4</f>
        <v>21.889763779527559</v>
      </c>
      <c r="L12" s="5">
        <f>J12*2</f>
        <v>1112</v>
      </c>
      <c r="M12" s="5">
        <f>K12*2</f>
        <v>43.779527559055119</v>
      </c>
    </row>
    <row r="13" spans="1:13" x14ac:dyDescent="0.25">
      <c r="A13" s="5" t="s">
        <v>76</v>
      </c>
      <c r="D13" s="2">
        <f>D11</f>
        <v>32.6</v>
      </c>
      <c r="E13" s="2">
        <f>E11</f>
        <v>828.15</v>
      </c>
      <c r="F13" s="9" t="s">
        <v>77</v>
      </c>
      <c r="J13" s="5">
        <f>J12-287</f>
        <v>269</v>
      </c>
      <c r="K13" s="5">
        <f>J13/25.4</f>
        <v>10.590551181102363</v>
      </c>
    </row>
    <row r="14" spans="1:13" x14ac:dyDescent="0.25">
      <c r="A14" s="5" t="s">
        <v>91</v>
      </c>
      <c r="B14" s="5">
        <f>ROUNDUP((E12/200)+1, 0)</f>
        <v>9</v>
      </c>
      <c r="D14" s="2"/>
      <c r="E14" s="2"/>
      <c r="F14" s="9"/>
      <c r="J14" s="5">
        <f>(J12*2)-313</f>
        <v>799</v>
      </c>
      <c r="K14" s="5">
        <f>J14/25.4</f>
        <v>31.45669291338583</v>
      </c>
    </row>
    <row r="15" spans="1:13" x14ac:dyDescent="0.25">
      <c r="A15" s="5" t="s">
        <v>88</v>
      </c>
      <c r="C15" s="5">
        <f>D15/12</f>
        <v>10.354002624671915</v>
      </c>
      <c r="D15" s="5">
        <f>((E11*2) + E12)/25.4</f>
        <v>124.24803149606298</v>
      </c>
    </row>
    <row r="17" spans="1:7" x14ac:dyDescent="0.25">
      <c r="A17" s="6" t="s">
        <v>86</v>
      </c>
      <c r="B17" s="6"/>
      <c r="C17" s="6"/>
    </row>
    <row r="18" spans="1:7" x14ac:dyDescent="0.25">
      <c r="A18"/>
      <c r="B18"/>
      <c r="C18"/>
      <c r="D18" s="1" t="s">
        <v>90</v>
      </c>
      <c r="E18" s="1" t="s">
        <v>79</v>
      </c>
      <c r="F18" s="1" t="s">
        <v>80</v>
      </c>
      <c r="G18" s="1" t="s">
        <v>87</v>
      </c>
    </row>
    <row r="19" spans="1:7" x14ac:dyDescent="0.25">
      <c r="A19" s="1" t="s">
        <v>81</v>
      </c>
      <c r="B19" s="1"/>
      <c r="C19" s="1"/>
      <c r="D19">
        <v>300</v>
      </c>
      <c r="E19" s="12">
        <f>E11</f>
        <v>828.15</v>
      </c>
      <c r="F19">
        <v>400</v>
      </c>
      <c r="G19" s="2">
        <f>SUM(D19:F19)</f>
        <v>1528.15</v>
      </c>
    </row>
    <row r="20" spans="1:7" x14ac:dyDescent="0.25">
      <c r="A20" s="1" t="s">
        <v>82</v>
      </c>
      <c r="B20" s="1"/>
      <c r="C20" s="1"/>
      <c r="D20">
        <v>400</v>
      </c>
      <c r="E20">
        <v>200</v>
      </c>
      <c r="F20">
        <v>400</v>
      </c>
      <c r="G20" s="2">
        <f t="shared" ref="G20:G23" si="1">SUM(D20:F20)</f>
        <v>1000</v>
      </c>
    </row>
    <row r="21" spans="1:7" x14ac:dyDescent="0.25">
      <c r="A21" s="1" t="s">
        <v>83</v>
      </c>
      <c r="B21" s="1"/>
      <c r="C21" s="1"/>
      <c r="D21">
        <v>350</v>
      </c>
      <c r="E21">
        <v>200</v>
      </c>
      <c r="F21">
        <v>400</v>
      </c>
      <c r="G21" s="2">
        <f t="shared" si="1"/>
        <v>950</v>
      </c>
    </row>
    <row r="22" spans="1:7" x14ac:dyDescent="0.25">
      <c r="A22" s="1" t="s">
        <v>84</v>
      </c>
      <c r="B22" s="1"/>
      <c r="C22" s="1"/>
      <c r="D22">
        <v>400</v>
      </c>
      <c r="E22">
        <f>200+E3</f>
        <v>860.4</v>
      </c>
      <c r="F22">
        <v>400</v>
      </c>
      <c r="G22" s="2">
        <f t="shared" si="1"/>
        <v>1660.4</v>
      </c>
    </row>
    <row r="23" spans="1:7" x14ac:dyDescent="0.25">
      <c r="A23" s="1" t="s">
        <v>85</v>
      </c>
      <c r="B23" s="1"/>
      <c r="C23" s="1"/>
      <c r="D23">
        <v>350</v>
      </c>
      <c r="E23">
        <f>200+E3</f>
        <v>860.4</v>
      </c>
      <c r="F23">
        <v>400</v>
      </c>
      <c r="G23" s="2">
        <f t="shared" si="1"/>
        <v>1610.4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0CD8-2C07-4D8A-85DB-7CD0665D7B23}">
  <dimension ref="A1:F7"/>
  <sheetViews>
    <sheetView workbookViewId="0">
      <selection activeCell="D4" sqref="D4"/>
    </sheetView>
  </sheetViews>
  <sheetFormatPr defaultRowHeight="15" x14ac:dyDescent="0.25"/>
  <cols>
    <col min="1" max="1" width="15" bestFit="1" customWidth="1"/>
    <col min="2" max="2" width="23.7109375" bestFit="1" customWidth="1"/>
    <col min="3" max="3" width="20.42578125" bestFit="1" customWidth="1"/>
    <col min="4" max="4" width="16.28515625" customWidth="1"/>
    <col min="5" max="5" width="23" customWidth="1"/>
  </cols>
  <sheetData>
    <row r="1" spans="1:6" x14ac:dyDescent="0.25">
      <c r="B1" s="1" t="s">
        <v>92</v>
      </c>
    </row>
    <row r="3" spans="1:6" x14ac:dyDescent="0.25">
      <c r="A3" s="1" t="s">
        <v>94</v>
      </c>
      <c r="B3" s="1" t="s">
        <v>95</v>
      </c>
      <c r="C3" s="1" t="s">
        <v>96</v>
      </c>
      <c r="D3" s="1" t="s">
        <v>97</v>
      </c>
      <c r="E3" s="1" t="s">
        <v>98</v>
      </c>
      <c r="F3" s="1" t="s">
        <v>44</v>
      </c>
    </row>
    <row r="4" spans="1:6" x14ac:dyDescent="0.25">
      <c r="A4">
        <v>1</v>
      </c>
      <c r="B4">
        <v>0.6</v>
      </c>
      <c r="C4">
        <v>0.71</v>
      </c>
      <c r="D4">
        <f>ROUND(C4/B4, 4)</f>
        <v>1.1833</v>
      </c>
      <c r="E4">
        <f>ROUND(100 * B4/C4, 2)</f>
        <v>84.51</v>
      </c>
    </row>
    <row r="5" spans="1:6" x14ac:dyDescent="0.25">
      <c r="A5">
        <v>2</v>
      </c>
      <c r="B5">
        <v>1.2</v>
      </c>
      <c r="C5">
        <v>1.33</v>
      </c>
      <c r="D5">
        <f t="shared" ref="D5:D7" si="0">ROUND(C5/B5, 4)</f>
        <v>1.1083000000000001</v>
      </c>
      <c r="E5">
        <f t="shared" ref="E5:E7" si="1">ROUND(100 * B5/C5, 2)</f>
        <v>90.23</v>
      </c>
    </row>
    <row r="6" spans="1:6" x14ac:dyDescent="0.25">
      <c r="A6">
        <v>3</v>
      </c>
      <c r="B6">
        <v>1.8</v>
      </c>
      <c r="C6">
        <v>1.95</v>
      </c>
      <c r="D6">
        <f t="shared" si="0"/>
        <v>1.0832999999999999</v>
      </c>
      <c r="E6">
        <f t="shared" si="1"/>
        <v>92.31</v>
      </c>
    </row>
    <row r="7" spans="1:6" x14ac:dyDescent="0.25">
      <c r="A7">
        <v>4</v>
      </c>
      <c r="B7">
        <v>2.4</v>
      </c>
      <c r="C7">
        <v>2.4300000000000002</v>
      </c>
      <c r="D7">
        <f t="shared" si="0"/>
        <v>1.0125</v>
      </c>
      <c r="E7">
        <f t="shared" si="1"/>
        <v>98.77</v>
      </c>
      <c r="F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Printed Parts</vt:lpstr>
      <vt:lpstr>Dimensions</vt:lpstr>
      <vt:lpstr>Printer 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</dc:creator>
  <cp:lastModifiedBy>Aaron S</cp:lastModifiedBy>
  <dcterms:created xsi:type="dcterms:W3CDTF">2024-08-17T07:52:08Z</dcterms:created>
  <dcterms:modified xsi:type="dcterms:W3CDTF">2024-10-03T21:27:52Z</dcterms:modified>
</cp:coreProperties>
</file>